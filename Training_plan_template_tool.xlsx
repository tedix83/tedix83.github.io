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ing plan to calendar" sheetId="1" r:id="rId5"/>
  </sheets>
  <definedNames/>
  <calcPr/>
</workbook>
</file>

<file path=xl/sharedStrings.xml><?xml version="1.0" encoding="utf-8"?>
<sst xmlns="http://schemas.openxmlformats.org/spreadsheetml/2006/main" count="39" uniqueCount="32">
  <si>
    <t>Number of weeks</t>
  </si>
  <si>
    <t>Race date</t>
  </si>
  <si>
    <t>Plan start</t>
  </si>
  <si>
    <t>Training week</t>
  </si>
  <si>
    <t>Week commencing</t>
  </si>
  <si>
    <t>Monday</t>
  </si>
  <si>
    <t>Details</t>
  </si>
  <si>
    <t>Tuesday</t>
  </si>
  <si>
    <t>Wednesday</t>
  </si>
  <si>
    <t>Thursday</t>
  </si>
  <si>
    <t>Friday</t>
  </si>
  <si>
    <t>Saturday</t>
  </si>
  <si>
    <t>Sunday</t>
  </si>
  <si>
    <t>Total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</si>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</sst>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9"/>
        <bgColor theme="9"/>
      </patternFill>
    </fill>
    <fill>
      <patternFill patternType="solid">
        <fgColor rgb="FFFFD966"/>
        <bgColor rgb="FFFFD966"/>
      </patternFill>
    </fill>
    <fill>
      <patternFill patternType="solid">
        <fgColor theme="0"/>
        <bgColor theme="0"/>
      </patternFill>
    </fill>
  </fills>
  <borders count="2">
    <border/>
    <border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1"/>
    </xf>
    <xf borderId="0" fillId="2" fontId="1" numFmtId="0" xfId="0" applyAlignment="1" applyFont="1">
      <alignment readingOrder="0"/>
    </xf>
    <xf borderId="0" fillId="2" fontId="1" numFmtId="0" xfId="0" applyFont="1"/>
    <xf borderId="0" fillId="3" fontId="1" numFmtId="0" xfId="0" applyAlignment="1" applyFill="1" applyFont="1">
      <alignment readingOrder="0" shrinkToFit="0" wrapText="1"/>
    </xf>
    <xf borderId="0" fillId="3" fontId="1" numFmtId="0" xfId="0" applyAlignment="1" applyFont="1">
      <alignment readingOrder="0"/>
    </xf>
    <xf borderId="0" fillId="3" fontId="1" numFmtId="164" xfId="0" applyAlignment="1" applyFont="1" applyNumberFormat="1">
      <alignment readingOrder="0"/>
    </xf>
    <xf borderId="0" fillId="3" fontId="1" numFmtId="164" xfId="0" applyFont="1" applyNumberFormat="1"/>
    <xf borderId="1" fillId="4" fontId="1" numFmtId="0" xfId="0" applyAlignment="1" applyBorder="1" applyFill="1" applyFont="1">
      <alignment readingOrder="0" shrinkToFit="0" wrapText="1"/>
    </xf>
    <xf borderId="1" fillId="4" fontId="1" numFmtId="0" xfId="0" applyAlignment="1" applyBorder="1" applyFont="1">
      <alignment readingOrder="0"/>
    </xf>
    <xf borderId="0" fillId="2" fontId="1" numFmtId="0" xfId="0" applyFont="1"/>
    <xf borderId="0" fillId="5" fontId="1" numFmtId="0" xfId="0" applyAlignment="1" applyFill="1" applyFont="1">
      <alignment readingOrder="0"/>
    </xf>
    <xf borderId="0" fillId="5" fontId="1" numFmtId="164" xfId="0" applyFont="1" applyNumberFormat="1"/>
    <xf borderId="0" fillId="5" fontId="1" numFmtId="0" xfId="0" applyFont="1"/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0000"/>
          <bgColor rgb="FF00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5"/>
    <col customWidth="1" min="2" max="3" width="10.63"/>
    <col customWidth="1" min="4" max="4" width="6.88"/>
    <col customWidth="1" min="6" max="6" width="7.38"/>
    <col customWidth="1" min="8" max="8" width="9.75"/>
    <col customWidth="1" min="10" max="10" width="8.0"/>
    <col customWidth="1" min="12" max="12" width="5.63"/>
    <col customWidth="1" min="14" max="14" width="7.63"/>
    <col customWidth="1" min="16" max="16" width="6.63"/>
    <col customWidth="1" min="18" max="18" width="4.5"/>
  </cols>
  <sheetData>
    <row r="1">
      <c r="A1" s="1"/>
      <c r="B1" s="1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1"/>
      <c r="B2" s="4" t="s">
        <v>0</v>
      </c>
      <c r="C2" s="5">
        <v>16.0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>
      <c r="A3" s="2"/>
      <c r="B3" s="5" t="s">
        <v>1</v>
      </c>
      <c r="C3" s="6">
        <v>46180.0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>
      <c r="A4" s="2"/>
      <c r="B4" s="5" t="s">
        <v>2</v>
      </c>
      <c r="C4" s="7">
        <f>C3-MOD(WEEKDAY(C3,2)-1,7)-(C2*7)+7
</f>
        <v>46069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>
      <c r="A6" s="3"/>
      <c r="B6" s="8" t="s">
        <v>3</v>
      </c>
      <c r="C6" s="8" t="s">
        <v>4</v>
      </c>
      <c r="D6" s="9" t="s">
        <v>5</v>
      </c>
      <c r="E6" s="9" t="s">
        <v>6</v>
      </c>
      <c r="F6" s="9" t="s">
        <v>7</v>
      </c>
      <c r="G6" s="9" t="s">
        <v>6</v>
      </c>
      <c r="H6" s="9" t="s">
        <v>8</v>
      </c>
      <c r="I6" s="9" t="s">
        <v>6</v>
      </c>
      <c r="J6" s="9" t="s">
        <v>9</v>
      </c>
      <c r="K6" s="9" t="s">
        <v>6</v>
      </c>
      <c r="L6" s="9" t="s">
        <v>10</v>
      </c>
      <c r="M6" s="9" t="s">
        <v>6</v>
      </c>
      <c r="N6" s="9" t="s">
        <v>11</v>
      </c>
      <c r="O6" s="9" t="s">
        <v>6</v>
      </c>
      <c r="P6" s="9" t="s">
        <v>12</v>
      </c>
      <c r="Q6" s="9" t="s">
        <v>6</v>
      </c>
      <c r="R6" s="9" t="s">
        <v>13</v>
      </c>
      <c r="S6" s="9" t="s">
        <v>6</v>
      </c>
      <c r="T6" s="3"/>
      <c r="U6" s="3"/>
      <c r="V6" s="3"/>
      <c r="W6" s="3"/>
      <c r="X6" s="3"/>
      <c r="Y6" s="3"/>
      <c r="Z6" s="3"/>
      <c r="AA6" s="3"/>
      <c r="AB6" s="3"/>
    </row>
    <row r="7">
      <c r="A7" s="10"/>
      <c r="B7" s="11" t="s">
        <v>14</v>
      </c>
      <c r="C7" s="12">
        <f>C4</f>
        <v>46069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3"/>
      <c r="U7" s="3"/>
      <c r="V7" s="3"/>
      <c r="W7" s="3"/>
      <c r="X7" s="3"/>
      <c r="Y7" s="3"/>
      <c r="Z7" s="3"/>
      <c r="AA7" s="3"/>
      <c r="AB7" s="3"/>
    </row>
    <row r="8">
      <c r="A8" s="10"/>
      <c r="B8" s="11" t="s">
        <v>15</v>
      </c>
      <c r="C8" s="12">
        <f t="shared" ref="C8:C24" si="1">$C7+7</f>
        <v>46076</v>
      </c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3"/>
      <c r="U8" s="3"/>
      <c r="V8" s="3"/>
      <c r="W8" s="3"/>
      <c r="X8" s="3"/>
      <c r="Y8" s="3"/>
      <c r="Z8" s="3"/>
      <c r="AA8" s="3"/>
      <c r="AB8" s="3"/>
    </row>
    <row r="9">
      <c r="A9" s="10"/>
      <c r="B9" s="11" t="s">
        <v>16</v>
      </c>
      <c r="C9" s="12">
        <f t="shared" si="1"/>
        <v>46083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3"/>
      <c r="U9" s="3"/>
      <c r="V9" s="3"/>
      <c r="W9" s="3"/>
      <c r="X9" s="3"/>
      <c r="Y9" s="3"/>
      <c r="Z9" s="3"/>
      <c r="AA9" s="3"/>
      <c r="AB9" s="3"/>
    </row>
    <row r="10">
      <c r="A10" s="10"/>
      <c r="B10" s="11" t="s">
        <v>17</v>
      </c>
      <c r="C10" s="12">
        <f t="shared" si="1"/>
        <v>46090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3"/>
      <c r="U10" s="3"/>
      <c r="V10" s="3"/>
      <c r="W10" s="3"/>
      <c r="X10" s="3"/>
      <c r="Y10" s="3"/>
      <c r="Z10" s="3"/>
      <c r="AA10" s="3"/>
      <c r="AB10" s="3"/>
    </row>
    <row r="11">
      <c r="A11" s="10"/>
      <c r="B11" s="11" t="s">
        <v>18</v>
      </c>
      <c r="C11" s="12">
        <f t="shared" si="1"/>
        <v>46097</v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3"/>
      <c r="U11" s="3"/>
      <c r="V11" s="3"/>
      <c r="W11" s="3"/>
      <c r="X11" s="3"/>
      <c r="Y11" s="3"/>
      <c r="Z11" s="3"/>
      <c r="AA11" s="3"/>
      <c r="AB11" s="3"/>
    </row>
    <row r="12">
      <c r="A12" s="10"/>
      <c r="B12" s="11" t="s">
        <v>19</v>
      </c>
      <c r="C12" s="12">
        <f t="shared" si="1"/>
        <v>46104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3"/>
      <c r="U12" s="3"/>
      <c r="V12" s="3"/>
      <c r="W12" s="3"/>
      <c r="X12" s="3"/>
      <c r="Y12" s="3"/>
      <c r="Z12" s="3"/>
      <c r="AA12" s="3"/>
      <c r="AB12" s="3"/>
    </row>
    <row r="13">
      <c r="A13" s="10"/>
      <c r="B13" s="11" t="s">
        <v>20</v>
      </c>
      <c r="C13" s="12">
        <f t="shared" si="1"/>
        <v>46111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3"/>
      <c r="U13" s="3"/>
      <c r="V13" s="3"/>
      <c r="W13" s="3"/>
      <c r="X13" s="3"/>
      <c r="Y13" s="3"/>
      <c r="Z13" s="3"/>
      <c r="AA13" s="3"/>
      <c r="AB13" s="3"/>
    </row>
    <row r="14">
      <c r="A14" s="10"/>
      <c r="B14" s="11" t="s">
        <v>21</v>
      </c>
      <c r="C14" s="12">
        <f t="shared" si="1"/>
        <v>46118</v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3"/>
      <c r="U14" s="3"/>
      <c r="V14" s="3"/>
      <c r="W14" s="3"/>
      <c r="X14" s="3"/>
      <c r="Y14" s="3"/>
      <c r="Z14" s="3"/>
      <c r="AA14" s="3"/>
      <c r="AB14" s="3"/>
    </row>
    <row r="15">
      <c r="A15" s="10"/>
      <c r="B15" s="11" t="s">
        <v>22</v>
      </c>
      <c r="C15" s="12">
        <f t="shared" si="1"/>
        <v>46125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3"/>
      <c r="U15" s="3"/>
      <c r="V15" s="3"/>
      <c r="W15" s="3"/>
      <c r="X15" s="3"/>
      <c r="Y15" s="3"/>
      <c r="Z15" s="3"/>
      <c r="AA15" s="3"/>
      <c r="AB15" s="3"/>
    </row>
    <row r="16">
      <c r="A16" s="10"/>
      <c r="B16" s="11" t="s">
        <v>23</v>
      </c>
      <c r="C16" s="12">
        <f t="shared" si="1"/>
        <v>46132</v>
      </c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3"/>
      <c r="U16" s="3"/>
      <c r="V16" s="3"/>
      <c r="W16" s="3"/>
      <c r="X16" s="3"/>
      <c r="Y16" s="3"/>
      <c r="Z16" s="3"/>
      <c r="AA16" s="3"/>
      <c r="AB16" s="3"/>
    </row>
    <row r="17">
      <c r="A17" s="10"/>
      <c r="B17" s="11" t="s">
        <v>24</v>
      </c>
      <c r="C17" s="12">
        <f t="shared" si="1"/>
        <v>46139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3"/>
      <c r="U17" s="3"/>
      <c r="V17" s="3"/>
      <c r="W17" s="3"/>
      <c r="X17" s="3"/>
      <c r="Y17" s="3"/>
      <c r="Z17" s="3"/>
      <c r="AA17" s="3"/>
      <c r="AB17" s="3"/>
    </row>
    <row r="18">
      <c r="A18" s="10"/>
      <c r="B18" s="11" t="s">
        <v>25</v>
      </c>
      <c r="C18" s="12">
        <f t="shared" si="1"/>
        <v>46146</v>
      </c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3"/>
      <c r="U18" s="3"/>
      <c r="V18" s="3"/>
      <c r="W18" s="3"/>
      <c r="X18" s="3"/>
      <c r="Y18" s="3"/>
      <c r="Z18" s="3"/>
      <c r="AA18" s="3"/>
      <c r="AB18" s="3"/>
    </row>
    <row r="19">
      <c r="A19" s="10"/>
      <c r="B19" s="11" t="s">
        <v>26</v>
      </c>
      <c r="C19" s="12">
        <f t="shared" si="1"/>
        <v>46153</v>
      </c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3"/>
      <c r="U19" s="3"/>
      <c r="V19" s="3"/>
      <c r="W19" s="3"/>
      <c r="X19" s="3"/>
      <c r="Y19" s="3"/>
      <c r="Z19" s="3"/>
      <c r="AA19" s="3"/>
      <c r="AB19" s="3"/>
    </row>
    <row r="20">
      <c r="A20" s="10"/>
      <c r="B20" s="11" t="s">
        <v>27</v>
      </c>
      <c r="C20" s="12">
        <f t="shared" si="1"/>
        <v>46160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3"/>
      <c r="U20" s="3"/>
      <c r="V20" s="3"/>
      <c r="W20" s="3"/>
      <c r="X20" s="3"/>
      <c r="Y20" s="3"/>
      <c r="Z20" s="3"/>
      <c r="AA20" s="3"/>
      <c r="AB20" s="3"/>
    </row>
    <row r="21">
      <c r="A21" s="10"/>
      <c r="B21" s="11" t="s">
        <v>28</v>
      </c>
      <c r="C21" s="12">
        <f t="shared" si="1"/>
        <v>46167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3"/>
      <c r="U21" s="3"/>
      <c r="V21" s="3"/>
      <c r="W21" s="3"/>
      <c r="X21" s="3"/>
      <c r="Y21" s="3"/>
      <c r="Z21" s="3"/>
      <c r="AA21" s="3"/>
      <c r="AB21" s="3"/>
    </row>
    <row r="22">
      <c r="A22" s="10"/>
      <c r="B22" s="11" t="s">
        <v>29</v>
      </c>
      <c r="C22" s="12">
        <f t="shared" si="1"/>
        <v>46174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3"/>
      <c r="U22" s="3"/>
      <c r="V22" s="3"/>
      <c r="W22" s="3"/>
      <c r="X22" s="3"/>
      <c r="Y22" s="3"/>
      <c r="Z22" s="3"/>
      <c r="AA22" s="3"/>
      <c r="AB22" s="3"/>
    </row>
    <row r="23">
      <c r="A23" s="10"/>
      <c r="B23" s="11" t="s">
        <v>30</v>
      </c>
      <c r="C23" s="12">
        <f t="shared" si="1"/>
        <v>46181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3"/>
      <c r="U23" s="3"/>
      <c r="V23" s="3"/>
      <c r="W23" s="3"/>
      <c r="X23" s="3"/>
      <c r="Y23" s="3"/>
      <c r="Z23" s="3"/>
      <c r="AA23" s="3"/>
      <c r="AB23" s="3"/>
    </row>
    <row r="24">
      <c r="A24" s="10"/>
      <c r="B24" s="11" t="s">
        <v>31</v>
      </c>
      <c r="C24" s="12">
        <f t="shared" si="1"/>
        <v>46188</v>
      </c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3"/>
      <c r="U24" s="3"/>
      <c r="V24" s="3"/>
      <c r="W24" s="3"/>
      <c r="X24" s="3"/>
      <c r="Y24" s="3"/>
      <c r="Z24" s="3"/>
      <c r="AA24" s="3"/>
      <c r="AB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</row>
  </sheetData>
  <conditionalFormatting sqref="B7:S24">
    <cfRule type="expression" dxfId="0" priority="1">
      <formula>AND($C7&gt;=$C$3-6, $C7&lt;$C$3)</formula>
    </cfRule>
  </conditionalFormatting>
  <conditionalFormatting sqref="B7:S24">
    <cfRule type="expression" dxfId="1" priority="2">
      <formula>$C7&gt;$C$3</formula>
    </cfRule>
  </conditionalFormatting>
  <drawing r:id="rId1"/>
</worksheet>
</file>